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ibración" sheetId="1" state="visible" r:id="rId3"/>
    <sheet name="SOBRE CERRADO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<sst xmlns="http://schemas.openxmlformats.org/spreadsheetml/2006/main" count="259" uniqueCount="186">
  <si>
    <t xml:space="preserve">🧪 MilOjos — Set dorado COMPLETO (38 casos) · v2 con las 25 láminas EMS-98</t>
  </si>
  <si>
    <t xml:space="preserve">1. La columna 'Etiqueta experta' ya está llena: casos 1-10 y 36-38 con las etiquetas de su equipo; casos 11-35 con la ETIQUETA OFICIAL del EMS-98 (G2→BAJA · G3→MEDIA · G4-5→ALTA).</t>
  </si>
  <si>
    <t xml:space="preserve">2. Corran cada foto por el bot y llenen la columna amarilla 'Veredicto IA'. TODAS las fotos están en Descargas\milojos_set_dorado\ con el nombre exacto de cada caso — el orden alfabético de la carpeta es el orden de esta tabla.</t>
  </si>
  <si>
    <t xml:space="preserve">3. '¿Acuerdo?' y las métricas se calculan solas. Al terminar: clic derecho en las pestañas → Mostrar → SOBRE CERRADO para comparar con el 2º evaluador (Claude).</t>
  </si>
  <si>
    <t xml:space="preserve">Meta: FALSOS TRANQUILIZADORES = 0. La fila EJEMPLO gris no cuenta en métricas.</t>
  </si>
  <si>
    <t xml:space="preserve">#</t>
  </si>
  <si>
    <t xml:space="preserve">Archivo / Caso</t>
  </si>
  <si>
    <t xml:space="preserve">Fuente</t>
  </si>
  <si>
    <t xml:space="preserve">Etiqueta experta</t>
  </si>
  <si>
    <t xml:space="preserve">Veredicto IA</t>
  </si>
  <si>
    <t xml:space="preserve">¿Acuerdo?</t>
  </si>
  <si>
    <t xml:space="preserve">Notas</t>
  </si>
  <si>
    <t xml:space="preserve">EJ.</t>
  </si>
  <si>
    <t xml:space="preserve">ejemplo_grieta.jpg</t>
  </si>
  <si>
    <t xml:space="preserve">ejemplo</t>
  </si>
  <si>
    <t xml:space="preserve">MEDIA</t>
  </si>
  <si>
    <t xml:space="preserve">ALTA</t>
  </si>
  <si>
    <t xml:space="preserve">Fila de ejemplo — desacuerdo conservador (IA más severa). No cuenta.</t>
  </si>
  <si>
    <t xml:space="preserve">01</t>
  </si>
  <si>
    <t xml:space="preserve">caso_01_semana_aerea.jpg</t>
  </si>
  <si>
    <t xml:space="preserve">Semana (aérea)</t>
  </si>
  <si>
    <t xml:space="preserve">⚠️ Aérea: ancla capa cielo, no del bot</t>
  </si>
  <si>
    <t xml:space="preserve">02</t>
  </si>
  <si>
    <t xml:space="preserve">caso_02_infobae_01.jpg</t>
  </si>
  <si>
    <t xml:space="preserve">Infobae</t>
  </si>
  <si>
    <t xml:space="preserve">03</t>
  </si>
  <si>
    <t xml:space="preserve">caso_03_infobae_02.jpg</t>
  </si>
  <si>
    <t xml:space="preserve">Infobae (A/D)</t>
  </si>
  <si>
    <t xml:space="preserve">Solo mitad izquierda</t>
  </si>
  <si>
    <t xml:space="preserve">04</t>
  </si>
  <si>
    <t xml:space="preserve">caso_04_infobae_03.jpg</t>
  </si>
  <si>
    <t xml:space="preserve">05</t>
  </si>
  <si>
    <t xml:space="preserve">caso_05_infobae_04.jpg</t>
  </si>
  <si>
    <t xml:space="preserve">06</t>
  </si>
  <si>
    <t xml:space="preserve">caso_06_infobae_05.jpg</t>
  </si>
  <si>
    <t xml:space="preserve">07</t>
  </si>
  <si>
    <t xml:space="preserve">caso_07_muro_bloques.jpg</t>
  </si>
  <si>
    <t xml:space="preserve">Equipo</t>
  </si>
  <si>
    <t xml:space="preserve">Rotular 'sintética'</t>
  </si>
  <si>
    <t xml:space="preserve">08</t>
  </si>
  <si>
    <t xml:space="preserve">caso_08_ladrillo_dintel.jpg</t>
  </si>
  <si>
    <t xml:space="preserve">09</t>
  </si>
  <si>
    <t xml:space="preserve">caso_09_columna_fisura_vertical.jpg</t>
  </si>
  <si>
    <t xml:space="preserve">10</t>
  </si>
  <si>
    <t xml:space="preserve">caso_10_columna_nudo.jpg</t>
  </si>
  <si>
    <t xml:space="preserve">⚠️ Revisar con ing.: daño en nudo suele ser bandera roja</t>
  </si>
  <si>
    <t xml:space="preserve">11</t>
  </si>
  <si>
    <t xml:space="preserve">caso_11_ems98_p63_g3.jpg</t>
  </si>
  <si>
    <t xml:space="preserve">EMS-98 (SGC) · pág. 63</t>
  </si>
  <si>
    <t xml:space="preserve">Etiqueta oficial G3 · Adobe · Kazajistán</t>
  </si>
  <si>
    <t xml:space="preserve">12</t>
  </si>
  <si>
    <t xml:space="preserve">caso_12_ems98_p64_g4.jpg</t>
  </si>
  <si>
    <t xml:space="preserve">EMS-98 (SGC) · pág. 64</t>
  </si>
  <si>
    <t xml:space="preserve">Etiqueta oficial G4 · Adobe · Carpatia</t>
  </si>
  <si>
    <t xml:space="preserve">13</t>
  </si>
  <si>
    <t xml:space="preserve">caso_13_ems98_p65_g4.jpg</t>
  </si>
  <si>
    <t xml:space="preserve">EMS-98 (SGC) · pág. 65</t>
  </si>
  <si>
    <t xml:space="preserve">Etiqueta oficial G4 · Adobe · Tayikistán</t>
  </si>
  <si>
    <t xml:space="preserve">14</t>
  </si>
  <si>
    <t xml:space="preserve">caso_14_ems98_p66_g4.jpg</t>
  </si>
  <si>
    <t xml:space="preserve">EMS-98 (SGC) · pág. 66</t>
  </si>
  <si>
    <t xml:space="preserve">Etiqueta oficial G4 · Roca de cantera · Peloponeso</t>
  </si>
  <si>
    <t xml:space="preserve">15</t>
  </si>
  <si>
    <t xml:space="preserve">caso_15_ems98_p67_g5.jpg</t>
  </si>
  <si>
    <t xml:space="preserve">EMS-98 (SGC) · pág. 67</t>
  </si>
  <si>
    <t xml:space="preserve">Etiqueta oficial G5 · Roca de cantera · Italia 1980</t>
  </si>
  <si>
    <t xml:space="preserve">16</t>
  </si>
  <si>
    <t xml:space="preserve">caso_16_ems98_p68_g2.jpg</t>
  </si>
  <si>
    <t xml:space="preserve">EMS-98 (SGC) · pág. 68</t>
  </si>
  <si>
    <t xml:space="preserve">BAJA</t>
  </si>
  <si>
    <t xml:space="preserve">Etiqueta oficial G2 · Roca simple · Grisones</t>
  </si>
  <si>
    <t xml:space="preserve">17</t>
  </si>
  <si>
    <t xml:space="preserve">caso_17_ems98_p69_g3.jpg</t>
  </si>
  <si>
    <t xml:space="preserve">EMS-98 (SGC) · pág. 69</t>
  </si>
  <si>
    <t xml:space="preserve">Etiqueta oficial G3 · Roca simple · Montenegro</t>
  </si>
  <si>
    <t xml:space="preserve">18</t>
  </si>
  <si>
    <t xml:space="preserve">caso_18_ems98_p70_g4.jpg</t>
  </si>
  <si>
    <t xml:space="preserve">EMS-98 (SGC) · pág. 70</t>
  </si>
  <si>
    <t xml:space="preserve">Etiqueta oficial G4 · Roca simple · Montenegro</t>
  </si>
  <si>
    <t xml:space="preserve">19</t>
  </si>
  <si>
    <t xml:space="preserve">caso_19_ems98_p71_g2.jpg</t>
  </si>
  <si>
    <t xml:space="preserve">EMS-98 (SGC) · pág. 71</t>
  </si>
  <si>
    <t xml:space="preserve">Etiqueta oficial G2 · Mamp. no reforzada</t>
  </si>
  <si>
    <t xml:space="preserve">20</t>
  </si>
  <si>
    <t xml:space="preserve">caso_20_ems98_p72_g2.jpg</t>
  </si>
  <si>
    <t xml:space="preserve">EMS-98 (SGC) · pág. 72</t>
  </si>
  <si>
    <t xml:space="preserve">21</t>
  </si>
  <si>
    <t xml:space="preserve">caso_21_ems98_p73_g2.jpg</t>
  </si>
  <si>
    <t xml:space="preserve">EMS-98 (SGC) · pág. 73</t>
  </si>
  <si>
    <t xml:space="preserve">22</t>
  </si>
  <si>
    <t xml:space="preserve">caso_22_ems98_p74_g2.jpg</t>
  </si>
  <si>
    <t xml:space="preserve">EMS-98 (SGC) · pág. 74</t>
  </si>
  <si>
    <t xml:space="preserve">23</t>
  </si>
  <si>
    <t xml:space="preserve">caso_23_ems98_p75_g3.jpg</t>
  </si>
  <si>
    <t xml:space="preserve">EMS-98 (SGC) · pág. 75</t>
  </si>
  <si>
    <t xml:space="preserve">Etiqueta oficial G3 · No reforzada · Friuli</t>
  </si>
  <si>
    <t xml:space="preserve">24</t>
  </si>
  <si>
    <t xml:space="preserve">caso_24_ems98_p76_g4.jpg</t>
  </si>
  <si>
    <t xml:space="preserve">EMS-98 (SGC) · pág. 76</t>
  </si>
  <si>
    <t xml:space="preserve">Etiqueta oficial G4 · No reforz. + pisos HA · Friuli</t>
  </si>
  <si>
    <t xml:space="preserve">25</t>
  </si>
  <si>
    <t xml:space="preserve">caso_25_ems98_p77_g3.jpg</t>
  </si>
  <si>
    <t xml:space="preserve">EMS-98 (SGC) · pág. 77</t>
  </si>
  <si>
    <t xml:space="preserve">Etiqueta oficial G3 · No reforz. + pisos HA · Peloponeso</t>
  </si>
  <si>
    <t xml:space="preserve">26</t>
  </si>
  <si>
    <t xml:space="preserve">caso_26_ems98_p78_g3.jpg</t>
  </si>
  <si>
    <t xml:space="preserve">EMS-98 (SGC) · pág. 78</t>
  </si>
  <si>
    <t xml:space="preserve">Etiqueta oficial G3 · Lámina EMS-98</t>
  </si>
  <si>
    <t xml:space="preserve">27</t>
  </si>
  <si>
    <t xml:space="preserve">caso_27_ems98_p79_g4.jpg</t>
  </si>
  <si>
    <t xml:space="preserve">EMS-98 (SGC) · pág. 79</t>
  </si>
  <si>
    <t xml:space="preserve">Etiqueta oficial G4 · Lámina EMS-98</t>
  </si>
  <si>
    <t xml:space="preserve">28</t>
  </si>
  <si>
    <t xml:space="preserve">caso_28_ems98_p80_g5.jpg</t>
  </si>
  <si>
    <t xml:space="preserve">EMS-98 (SGC) · pág. 80</t>
  </si>
  <si>
    <t xml:space="preserve">Etiqueta oficial G5 · Lámina EMS-98</t>
  </si>
  <si>
    <t xml:space="preserve">29</t>
  </si>
  <si>
    <t xml:space="preserve">caso_29_ems98_p81_g5.jpg</t>
  </si>
  <si>
    <t xml:space="preserve">EMS-98 (SGC) · pág. 81</t>
  </si>
  <si>
    <t xml:space="preserve">30</t>
  </si>
  <si>
    <t xml:space="preserve">caso_30_ems98_p82_g4.jpg</t>
  </si>
  <si>
    <t xml:space="preserve">EMS-98 (SGC) · pág. 82</t>
  </si>
  <si>
    <t xml:space="preserve">31</t>
  </si>
  <si>
    <t xml:space="preserve">caso_31_ems98_p83_g5.jpg</t>
  </si>
  <si>
    <t xml:space="preserve">EMS-98 (SGC) · pág. 83</t>
  </si>
  <si>
    <t xml:space="preserve">32</t>
  </si>
  <si>
    <t xml:space="preserve">caso_32_ems98_p84_g5.jpg</t>
  </si>
  <si>
    <t xml:space="preserve">EMS-98 (SGC) · pág. 84</t>
  </si>
  <si>
    <t xml:space="preserve">33</t>
  </si>
  <si>
    <t xml:space="preserve">caso_33_ems98_p85_g3.jpg</t>
  </si>
  <si>
    <t xml:space="preserve">EMS-98 (SGC) · pág. 85</t>
  </si>
  <si>
    <t xml:space="preserve">34</t>
  </si>
  <si>
    <t xml:space="preserve">caso_34_ems98_p86_g4.jpg</t>
  </si>
  <si>
    <t xml:space="preserve">EMS-98 (SGC) · pág. 86</t>
  </si>
  <si>
    <t xml:space="preserve">Etiqueta oficial G4 · Acero · Gran Hanshin (Kobe)</t>
  </si>
  <si>
    <t xml:space="preserve">35</t>
  </si>
  <si>
    <t xml:space="preserve">caso_35_ems98_p87_g4.jpg</t>
  </si>
  <si>
    <t xml:space="preserve">EMS-98 (SGC) · pág. 87</t>
  </si>
  <si>
    <t xml:space="preserve">Etiqueta oficial G4 · Madera · Gran Hanshin (Kobe)</t>
  </si>
  <si>
    <t xml:space="preserve">36</t>
  </si>
  <si>
    <t xml:space="preserve">caso_36_viga_molduras.jpg</t>
  </si>
  <si>
    <t xml:space="preserve">Control (esperado BAJA)</t>
  </si>
  <si>
    <t xml:space="preserve">37</t>
  </si>
  <si>
    <t xml:space="preserve">caso_37_pilastra_acanaladuras.jpg</t>
  </si>
  <si>
    <t xml:space="preserve">Control TRAMPA: decoración ≠ grietas</t>
  </si>
  <si>
    <t xml:space="preserve">38</t>
  </si>
  <si>
    <t xml:space="preserve">caso_38_fisura_panete.jpg</t>
  </si>
  <si>
    <t xml:space="preserve">Control con 'ruido'</t>
  </si>
  <si>
    <t xml:space="preserve">RESUMEN DE MÉTRICAS (automático)</t>
  </si>
  <si>
    <t xml:space="preserve">Casos con IA evaluada</t>
  </si>
  <si>
    <t xml:space="preserve">Acuerdos</t>
  </si>
  <si>
    <t xml:space="preserve">% de acuerdo</t>
  </si>
  <si>
    <t xml:space="preserve">Desacuerdos con IA MÁS severa (aceptables)</t>
  </si>
  <si>
    <t xml:space="preserve">FALSOS TRANQUILIZADORES → debe ser 0</t>
  </si>
  <si>
    <t xml:space="preserve">Falsos rojos en controles (36-38)</t>
  </si>
  <si>
    <t xml:space="preserve">Versión del prompt:</t>
  </si>
  <si>
    <t xml:space="preserve">Fecha/hora:</t>
  </si>
  <si>
    <t xml:space="preserve">Etiquetaron:</t>
  </si>
  <si>
    <t xml:space="preserve">🔒 Clave del 2º evaluador (Claude) — abrir SOLO tras llenar 'Veredicto IA'</t>
  </si>
  <si>
    <t xml:space="preserve">Señales técnicas observadas</t>
  </si>
  <si>
    <t xml:space="preserve">Veredicto Claude</t>
  </si>
  <si>
    <t xml:space="preserve">Aérea: colapso total tipo 'panqueca', losas apiladas</t>
  </si>
  <si>
    <t xml:space="preserve">ALTA (G5 — ancla; caso de rescate, no de retorno)</t>
  </si>
  <si>
    <t xml:space="preserve">Edificación baja colapsada, cubierta en el suelo</t>
  </si>
  <si>
    <t xml:space="preserve">ALTA (G5)</t>
  </si>
  <si>
    <t xml:space="preserve">4 pisos: colapso parcial esquina superior, ACERO EXPUESTO</t>
  </si>
  <si>
    <t xml:space="preserve">ALTA (bandera roja)</t>
  </si>
  <si>
    <t xml:space="preserve">Esquinero 3 pisos: 1er piso comercial aplastado ('piso blando')</t>
  </si>
  <si>
    <t xml:space="preserve">Torre ~14 pisos: franja de daño severo en pisos intermedios</t>
  </si>
  <si>
    <t xml:space="preserve">3 pisos: muro frontal superior colapsado, habitaciones expuestas</t>
  </si>
  <si>
    <t xml:space="preserve">ALTA — ojo: equipo etiquetó MEDIA; discutir con ing.</t>
  </si>
  <si>
    <t xml:space="preserve">Bloques: grietas diagonales en X anchas, pasantes</t>
  </si>
  <si>
    <t xml:space="preserve">ALTA (sintética — rotulada)</t>
  </si>
  <si>
    <t xml:space="preserve">Ladrillo 5 pisos: piezas sueltas sobre dintel en altura</t>
  </si>
  <si>
    <t xml:space="preserve">MEDIA-ALTA → ALTA conservador; equipo: MEDIA (caso limítrofe válido)</t>
  </si>
  <si>
    <t xml:space="preserve">Columna: fisura vertical en arista, sin acero expuesto</t>
  </si>
  <si>
    <t xml:space="preserve">MEDIA (elemento crítico)</t>
  </si>
  <si>
    <t xml:space="preserve">Columna: CABEZA/nudo con recubrimiento desprendido y fisura diagonal</t>
  </si>
  <si>
    <t xml:space="preserve">ALTA (bandera roja clásica) — equipo etiquetó MEDIA: revisar con ing.</t>
  </si>
  <si>
    <t xml:space="preserve">Viga/cornisa: líneas finas en juntas de pintura</t>
  </si>
  <si>
    <t xml:space="preserve">BAJA (~8)</t>
  </si>
  <si>
    <t xml:space="preserve">Pilastra: ACANALADURAS decorativas paralelas — cero daño</t>
  </si>
  <si>
    <t xml:space="preserve">BAJA (~3) — caso trampa de falsos rojos</t>
  </si>
  <si>
    <t xml:space="preserve">Fisura capilar vertical ~15 cm, superficial en pañete</t>
  </si>
  <si>
    <t xml:space="preserve">BAJA (~10)</t>
  </si>
  <si>
    <t xml:space="preserve">Los casos 11-35 (EMS-98) no necesitan 2º evaluador: traen etiqueta oficial de la escala. Regla anti-falso-rojo para el prompt: molduras, acanaladuras, juntas y sombras rectas uniformes NO son grietas — las reales son irregulares, de bordes ásperos y recorrido errático.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</si>
</sst>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8CBA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1"/>
    <col collapsed="false" customWidth="true" hidden="false" outlineLevel="0" max="7" min="7" style="1" width="42"/>
    <col collapsed="false" customWidth="true" hidden="true" outlineLevel="0" max="9" min="8" style="1" width="5"/>
  </cols>
  <sheetData>
    <row r="1" customFormat="false" ht="17.25" hidden="false" customHeight="true" outlineLevel="0" collapsed="false">
      <c r="A1" s="2" t="s">
        <v>0</v>
      </c>
    </row>
    <row r="2" customFormat="false" ht="25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25.5" hidden="false" customHeight="true" outlineLevel="0" collapsed="false">
      <c r="A4" s="3" t="s">
        <v>3</v>
      </c>
      <c r="B4" s="3"/>
      <c r="C4" s="3"/>
      <c r="D4" s="3"/>
      <c r="E4" s="3"/>
      <c r="F4" s="3"/>
      <c r="G4" s="3"/>
    </row>
    <row r="5" customFormat="false" ht="25.5" hidden="false" customHeight="true" outlineLevel="0" collapsed="false">
      <c r="A5" s="4" t="s">
        <v>4</v>
      </c>
      <c r="B5" s="4"/>
      <c r="C5" s="4"/>
      <c r="D5" s="4"/>
      <c r="E5" s="4"/>
      <c r="F5" s="4"/>
      <c r="G5" s="4"/>
    </row>
    <row r="7" customFormat="false" ht="15" hidden="false" customHeight="true" outlineLevel="0" collapsed="false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</row>
    <row r="8" customFormat="false" ht="21.75" hidden="false" customHeight="true" outlineLevel="0" collapsed="false">
      <c r="A8" s="6" t="s">
        <v>12</v>
      </c>
      <c r="B8" s="6" t="s">
        <v>13</v>
      </c>
      <c r="C8" s="6" t="s">
        <v>14</v>
      </c>
      <c r="D8" s="6" t="s">
        <v>15</v>
      </c>
      <c r="E8" s="6" t="s">
        <v>16</v>
      </c>
      <c r="F8" s="6" t="str">
        <f aca="false">IF(OR(D8="",E8=""),"",IF(D8=E8,"✅","⚠️"))</f>
        <v>⚠️</v>
      </c>
      <c r="G8" s="6" t="s">
        <v>17</v>
      </c>
    </row>
    <row r="9" customFormat="false" ht="24" hidden="false" customHeight="true" outlineLevel="0" collapsed="false">
      <c r="A9" s="7" t="s">
        <v>18</v>
      </c>
      <c r="B9" s="8" t="s">
        <v>19</v>
      </c>
      <c r="C9" s="8" t="s">
        <v>20</v>
      </c>
      <c r="D9" s="9" t="s">
        <v>16</v>
      </c>
      <c r="E9" s="9"/>
      <c r="F9" s="7" t="str">
        <f aca="false">IF(OR(D9="",E9=""),"",IF(D9=E9,"✅","⚠️"))</f>
        <v/>
      </c>
      <c r="G9" s="8" t="s">
        <v>21</v>
      </c>
      <c r="H9" s="1" t="n">
        <f aca="false">IF(D9="ALTA",3,IF(D9="MEDIA",2,IF(D9="BAJA",1,0)))</f>
        <v>3</v>
      </c>
      <c r="I9" s="1" t="n">
        <f aca="false">IF(E9="ALTA",3,IF(E9="MEDIA",2,IF(E9="BAJA",1,0)))</f>
        <v>0</v>
      </c>
    </row>
    <row r="10" customFormat="false" ht="24" hidden="false" customHeight="true" outlineLevel="0" collapsed="false">
      <c r="A10" s="7" t="s">
        <v>22</v>
      </c>
      <c r="B10" s="8" t="s">
        <v>23</v>
      </c>
      <c r="C10" s="8" t="s">
        <v>24</v>
      </c>
      <c r="D10" s="9" t="s">
        <v>16</v>
      </c>
      <c r="E10" s="9"/>
      <c r="F10" s="7" t="str">
        <f aca="false">IF(OR(D10="",E10=""),"",IF(D10=E10,"✅","⚠️"))</f>
        <v/>
      </c>
      <c r="G10" s="8"/>
      <c r="H10" s="1" t="n">
        <f aca="false">IF(D10="ALTA",3,IF(D10="MEDIA",2,IF(D10="BAJA",1,0)))</f>
        <v>3</v>
      </c>
      <c r="I10" s="1" t="n">
        <f aca="false">IF(E10="ALTA",3,IF(E10="MEDIA",2,IF(E10="BAJA",1,0)))</f>
        <v>0</v>
      </c>
    </row>
    <row r="11" customFormat="false" ht="24" hidden="false" customHeight="true" outlineLevel="0" collapsed="false">
      <c r="A11" s="7" t="s">
        <v>25</v>
      </c>
      <c r="B11" s="8" t="s">
        <v>26</v>
      </c>
      <c r="C11" s="8" t="s">
        <v>27</v>
      </c>
      <c r="D11" s="9" t="s">
        <v>16</v>
      </c>
      <c r="E11" s="9"/>
      <c r="F11" s="7" t="str">
        <f aca="false">IF(OR(D11="",E11=""),"",IF(D11=E11,"✅","⚠️"))</f>
        <v/>
      </c>
      <c r="G11" s="8" t="s">
        <v>28</v>
      </c>
      <c r="H11" s="1" t="n">
        <f aca="false">IF(D11="ALTA",3,IF(D11="MEDIA",2,IF(D11="BAJA",1,0)))</f>
        <v>3</v>
      </c>
      <c r="I11" s="1" t="n">
        <f aca="false">IF(E11="ALTA",3,IF(E11="MEDIA",2,IF(E11="BAJA",1,0)))</f>
        <v>0</v>
      </c>
    </row>
    <row r="12" customFormat="false" ht="24" hidden="false" customHeight="true" outlineLevel="0" collapsed="false">
      <c r="A12" s="7" t="s">
        <v>29</v>
      </c>
      <c r="B12" s="8" t="s">
        <v>30</v>
      </c>
      <c r="C12" s="8" t="s">
        <v>27</v>
      </c>
      <c r="D12" s="9" t="s">
        <v>16</v>
      </c>
      <c r="E12" s="9"/>
      <c r="F12" s="7" t="str">
        <f aca="false">IF(OR(D12="",E12=""),"",IF(D12=E12,"✅","⚠️"))</f>
        <v/>
      </c>
      <c r="G12" s="8" t="s">
        <v>28</v>
      </c>
      <c r="H12" s="1" t="n">
        <f aca="false">IF(D12="ALTA",3,IF(D12="MEDIA",2,IF(D12="BAJA",1,0)))</f>
        <v>3</v>
      </c>
      <c r="I12" s="1" t="n">
        <f aca="false">IF(E12="ALTA",3,IF(E12="MEDIA",2,IF(E12="BAJA",1,0)))</f>
        <v>0</v>
      </c>
    </row>
    <row r="13" customFormat="false" ht="24" hidden="false" customHeight="true" outlineLevel="0" collapsed="false">
      <c r="A13" s="7" t="s">
        <v>31</v>
      </c>
      <c r="B13" s="8" t="s">
        <v>32</v>
      </c>
      <c r="C13" s="8" t="s">
        <v>27</v>
      </c>
      <c r="D13" s="9" t="s">
        <v>16</v>
      </c>
      <c r="E13" s="9"/>
      <c r="F13" s="7" t="str">
        <f aca="false">IF(OR(D13="",E13=""),"",IF(D13=E13,"✅","⚠️"))</f>
        <v/>
      </c>
      <c r="G13" s="8" t="s">
        <v>28</v>
      </c>
      <c r="H13" s="1" t="n">
        <f aca="false">IF(D13="ALTA",3,IF(D13="MEDIA",2,IF(D13="BAJA",1,0)))</f>
        <v>3</v>
      </c>
      <c r="I13" s="1" t="n">
        <f aca="false">IF(E13="ALTA",3,IF(E13="MEDIA",2,IF(E13="BAJA",1,0)))</f>
        <v>0</v>
      </c>
    </row>
    <row r="14" customFormat="false" ht="24" hidden="false" customHeight="true" outlineLevel="0" collapsed="false">
      <c r="A14" s="7" t="s">
        <v>33</v>
      </c>
      <c r="B14" s="8" t="s">
        <v>34</v>
      </c>
      <c r="C14" s="8" t="s">
        <v>27</v>
      </c>
      <c r="D14" s="9" t="s">
        <v>15</v>
      </c>
      <c r="E14" s="9"/>
      <c r="F14" s="7" t="str">
        <f aca="false">IF(OR(D14="",E14=""),"",IF(D14=E14,"✅","⚠️"))</f>
        <v/>
      </c>
      <c r="G14" s="8" t="s">
        <v>28</v>
      </c>
      <c r="H14" s="1" t="n">
        <f aca="false">IF(D14="ALTA",3,IF(D14="MEDIA",2,IF(D14="BAJA",1,0)))</f>
        <v>2</v>
      </c>
      <c r="I14" s="1" t="n">
        <f aca="false">IF(E14="ALTA",3,IF(E14="MEDIA",2,IF(E14="BAJA",1,0)))</f>
        <v>0</v>
      </c>
    </row>
    <row r="15" customFormat="false" ht="24" hidden="false" customHeight="true" outlineLevel="0" collapsed="false">
      <c r="A15" s="7" t="s">
        <v>35</v>
      </c>
      <c r="B15" s="8" t="s">
        <v>36</v>
      </c>
      <c r="C15" s="8" t="s">
        <v>37</v>
      </c>
      <c r="D15" s="9" t="s">
        <v>16</v>
      </c>
      <c r="E15" s="9"/>
      <c r="F15" s="7" t="str">
        <f aca="false">IF(OR(D15="",E15=""),"",IF(D15=E15,"✅","⚠️"))</f>
        <v/>
      </c>
      <c r="G15" s="8" t="s">
        <v>38</v>
      </c>
      <c r="H15" s="1" t="n">
        <f aca="false">IF(D15="ALTA",3,IF(D15="MEDIA",2,IF(D15="BAJA",1,0)))</f>
        <v>3</v>
      </c>
      <c r="I15" s="1" t="n">
        <f aca="false">IF(E15="ALTA",3,IF(E15="MEDIA",2,IF(E15="BAJA",1,0)))</f>
        <v>0</v>
      </c>
    </row>
    <row r="16" customFormat="false" ht="24" hidden="false" customHeight="true" outlineLevel="0" collapsed="false">
      <c r="A16" s="7" t="s">
        <v>39</v>
      </c>
      <c r="B16" s="8" t="s">
        <v>40</v>
      </c>
      <c r="C16" s="8" t="s">
        <v>37</v>
      </c>
      <c r="D16" s="9" t="s">
        <v>15</v>
      </c>
      <c r="E16" s="9"/>
      <c r="F16" s="7" t="str">
        <f aca="false">IF(OR(D16="",E16=""),"",IF(D16=E16,"✅","⚠️"))</f>
        <v/>
      </c>
      <c r="G16" s="8"/>
      <c r="H16" s="1" t="n">
        <f aca="false">IF(D16="ALTA",3,IF(D16="MEDIA",2,IF(D16="BAJA",1,0)))</f>
        <v>2</v>
      </c>
      <c r="I16" s="1" t="n">
        <f aca="false">IF(E16="ALTA",3,IF(E16="MEDIA",2,IF(E16="BAJA",1,0)))</f>
        <v>0</v>
      </c>
    </row>
    <row r="17" customFormat="false" ht="24" hidden="false" customHeight="true" outlineLevel="0" collapsed="false">
      <c r="A17" s="7" t="s">
        <v>41</v>
      </c>
      <c r="B17" s="8" t="s">
        <v>42</v>
      </c>
      <c r="C17" s="8" t="s">
        <v>37</v>
      </c>
      <c r="D17" s="9" t="s">
        <v>15</v>
      </c>
      <c r="E17" s="9"/>
      <c r="F17" s="7" t="str">
        <f aca="false">IF(OR(D17="",E17=""),"",IF(D17=E17,"✅","⚠️"))</f>
        <v/>
      </c>
      <c r="G17" s="8"/>
      <c r="H17" s="1" t="n">
        <f aca="false">IF(D17="ALTA",3,IF(D17="MEDIA",2,IF(D17="BAJA",1,0)))</f>
        <v>2</v>
      </c>
      <c r="I17" s="1" t="n">
        <f aca="false">IF(E17="ALTA",3,IF(E17="MEDIA",2,IF(E17="BAJA",1,0)))</f>
        <v>0</v>
      </c>
    </row>
    <row r="18" customFormat="false" ht="24" hidden="false" customHeight="true" outlineLevel="0" collapsed="false">
      <c r="A18" s="7" t="s">
        <v>43</v>
      </c>
      <c r="B18" s="8" t="s">
        <v>44</v>
      </c>
      <c r="C18" s="8" t="s">
        <v>37</v>
      </c>
      <c r="D18" s="9" t="s">
        <v>15</v>
      </c>
      <c r="E18" s="9"/>
      <c r="F18" s="7" t="str">
        <f aca="false">IF(OR(D18="",E18=""),"",IF(D18=E18,"✅","⚠️"))</f>
        <v/>
      </c>
      <c r="G18" s="8" t="s">
        <v>45</v>
      </c>
      <c r="H18" s="1" t="n">
        <f aca="false">IF(D18="ALTA",3,IF(D18="MEDIA",2,IF(D18="BAJA",1,0)))</f>
        <v>2</v>
      </c>
      <c r="I18" s="1" t="n">
        <f aca="false">IF(E18="ALTA",3,IF(E18="MEDIA",2,IF(E18="BAJA",1,0)))</f>
        <v>0</v>
      </c>
    </row>
    <row r="19" customFormat="false" ht="24" hidden="false" customHeight="true" outlineLevel="0" collapsed="false">
      <c r="A19" s="7" t="s">
        <v>46</v>
      </c>
      <c r="B19" s="8" t="s">
        <v>47</v>
      </c>
      <c r="C19" s="8" t="s">
        <v>48</v>
      </c>
      <c r="D19" s="9" t="s">
        <v>15</v>
      </c>
      <c r="E19" s="9"/>
      <c r="F19" s="7" t="str">
        <f aca="false">IF(OR(D19="",E19=""),"",IF(D19=E19,"✅","⚠️"))</f>
        <v/>
      </c>
      <c r="G19" s="8" t="s">
        <v>49</v>
      </c>
      <c r="H19" s="1" t="n">
        <f aca="false">IF(D19="ALTA",3,IF(D19="MEDIA",2,IF(D19="BAJA",1,0)))</f>
        <v>2</v>
      </c>
      <c r="I19" s="1" t="n">
        <f aca="false">IF(E19="ALTA",3,IF(E19="MEDIA",2,IF(E19="BAJA",1,0)))</f>
        <v>0</v>
      </c>
    </row>
    <row r="20" customFormat="false" ht="24" hidden="false" customHeight="true" outlineLevel="0" collapsed="false">
      <c r="A20" s="7" t="s">
        <v>50</v>
      </c>
      <c r="B20" s="8" t="s">
        <v>51</v>
      </c>
      <c r="C20" s="8" t="s">
        <v>52</v>
      </c>
      <c r="D20" s="9" t="s">
        <v>16</v>
      </c>
      <c r="E20" s="9"/>
      <c r="F20" s="7" t="str">
        <f aca="false">IF(OR(D20="",E20=""),"",IF(D20=E20,"✅","⚠️"))</f>
        <v/>
      </c>
      <c r="G20" s="8" t="s">
        <v>53</v>
      </c>
      <c r="H20" s="1" t="n">
        <f aca="false">IF(D20="ALTA",3,IF(D20="MEDIA",2,IF(D20="BAJA",1,0)))</f>
        <v>3</v>
      </c>
      <c r="I20" s="1" t="n">
        <f aca="false">IF(E20="ALTA",3,IF(E20="MEDIA",2,IF(E20="BAJA",1,0)))</f>
        <v>0</v>
      </c>
    </row>
    <row r="21" customFormat="false" ht="24" hidden="false" customHeight="true" outlineLevel="0" collapsed="false">
      <c r="A21" s="7" t="s">
        <v>54</v>
      </c>
      <c r="B21" s="8" t="s">
        <v>55</v>
      </c>
      <c r="C21" s="8" t="s">
        <v>56</v>
      </c>
      <c r="D21" s="9" t="s">
        <v>16</v>
      </c>
      <c r="E21" s="9"/>
      <c r="F21" s="7" t="str">
        <f aca="false">IF(OR(D21="",E21=""),"",IF(D21=E21,"✅","⚠️"))</f>
        <v/>
      </c>
      <c r="G21" s="8" t="s">
        <v>57</v>
      </c>
      <c r="H21" s="1" t="n">
        <f aca="false">IF(D21="ALTA",3,IF(D21="MEDIA",2,IF(D21="BAJA",1,0)))</f>
        <v>3</v>
      </c>
      <c r="I21" s="1" t="n">
        <f aca="false">IF(E21="ALTA",3,IF(E21="MEDIA",2,IF(E21="BAJA",1,0)))</f>
        <v>0</v>
      </c>
    </row>
    <row r="22" customFormat="false" ht="24" hidden="false" customHeight="true" outlineLevel="0" collapsed="false">
      <c r="A22" s="7" t="s">
        <v>58</v>
      </c>
      <c r="B22" s="8" t="s">
        <v>59</v>
      </c>
      <c r="C22" s="8" t="s">
        <v>60</v>
      </c>
      <c r="D22" s="9" t="s">
        <v>16</v>
      </c>
      <c r="E22" s="9"/>
      <c r="F22" s="7" t="str">
        <f aca="false">IF(OR(D22="",E22=""),"",IF(D22=E22,"✅","⚠️"))</f>
        <v/>
      </c>
      <c r="G22" s="8" t="s">
        <v>61</v>
      </c>
      <c r="H22" s="1" t="n">
        <f aca="false">IF(D22="ALTA",3,IF(D22="MEDIA",2,IF(D22="BAJA",1,0)))</f>
        <v>3</v>
      </c>
      <c r="I22" s="1" t="n">
        <f aca="false">IF(E22="ALTA",3,IF(E22="MEDIA",2,IF(E22="BAJA",1,0)))</f>
        <v>0</v>
      </c>
    </row>
    <row r="23" customFormat="false" ht="24" hidden="false" customHeight="true" outlineLevel="0" collapsed="false">
      <c r="A23" s="7" t="s">
        <v>62</v>
      </c>
      <c r="B23" s="8" t="s">
        <v>63</v>
      </c>
      <c r="C23" s="8" t="s">
        <v>64</v>
      </c>
      <c r="D23" s="9" t="s">
        <v>16</v>
      </c>
      <c r="E23" s="9"/>
      <c r="F23" s="7" t="str">
        <f aca="false">IF(OR(D23="",E23=""),"",IF(D23=E23,"✅","⚠️"))</f>
        <v/>
      </c>
      <c r="G23" s="8" t="s">
        <v>65</v>
      </c>
      <c r="H23" s="1" t="n">
        <f aca="false">IF(D23="ALTA",3,IF(D23="MEDIA",2,IF(D23="BAJA",1,0)))</f>
        <v>3</v>
      </c>
      <c r="I23" s="1" t="n">
        <f aca="false">IF(E23="ALTA",3,IF(E23="MEDIA",2,IF(E23="BAJA",1,0)))</f>
        <v>0</v>
      </c>
    </row>
    <row r="24" customFormat="false" ht="24" hidden="false" customHeight="true" outlineLevel="0" collapsed="false">
      <c r="A24" s="7" t="s">
        <v>66</v>
      </c>
      <c r="B24" s="8" t="s">
        <v>67</v>
      </c>
      <c r="C24" s="8" t="s">
        <v>68</v>
      </c>
      <c r="D24" s="9" t="s">
        <v>69</v>
      </c>
      <c r="E24" s="9"/>
      <c r="F24" s="7" t="str">
        <f aca="false">IF(OR(D24="",E24=""),"",IF(D24=E24,"✅","⚠️"))</f>
        <v/>
      </c>
      <c r="G24" s="8" t="s">
        <v>70</v>
      </c>
      <c r="H24" s="1" t="n">
        <f aca="false">IF(D24="ALTA",3,IF(D24="MEDIA",2,IF(D24="BAJA",1,0)))</f>
        <v>1</v>
      </c>
      <c r="I24" s="1" t="n">
        <f aca="false">IF(E24="ALTA",3,IF(E24="MEDIA",2,IF(E24="BAJA",1,0)))</f>
        <v>0</v>
      </c>
    </row>
    <row r="25" customFormat="false" ht="24" hidden="false" customHeight="true" outlineLevel="0" collapsed="false">
      <c r="A25" s="7" t="s">
        <v>71</v>
      </c>
      <c r="B25" s="8" t="s">
        <v>72</v>
      </c>
      <c r="C25" s="8" t="s">
        <v>73</v>
      </c>
      <c r="D25" s="9" t="s">
        <v>15</v>
      </c>
      <c r="E25" s="9"/>
      <c r="F25" s="7" t="str">
        <f aca="false">IF(OR(D25="",E25=""),"",IF(D25=E25,"✅","⚠️"))</f>
        <v/>
      </c>
      <c r="G25" s="8" t="s">
        <v>74</v>
      </c>
      <c r="H25" s="1" t="n">
        <f aca="false">IF(D25="ALTA",3,IF(D25="MEDIA",2,IF(D25="BAJA",1,0)))</f>
        <v>2</v>
      </c>
      <c r="I25" s="1" t="n">
        <f aca="false">IF(E25="ALTA",3,IF(E25="MEDIA",2,IF(E25="BAJA",1,0)))</f>
        <v>0</v>
      </c>
    </row>
    <row r="26" customFormat="false" ht="24" hidden="false" customHeight="true" outlineLevel="0" collapsed="false">
      <c r="A26" s="7" t="s">
        <v>75</v>
      </c>
      <c r="B26" s="8" t="s">
        <v>76</v>
      </c>
      <c r="C26" s="8" t="s">
        <v>77</v>
      </c>
      <c r="D26" s="9" t="s">
        <v>16</v>
      </c>
      <c r="E26" s="9"/>
      <c r="F26" s="7" t="str">
        <f aca="false">IF(OR(D26="",E26=""),"",IF(D26=E26,"✅","⚠️"))</f>
        <v/>
      </c>
      <c r="G26" s="8" t="s">
        <v>78</v>
      </c>
      <c r="H26" s="1" t="n">
        <f aca="false">IF(D26="ALTA",3,IF(D26="MEDIA",2,IF(D26="BAJA",1,0)))</f>
        <v>3</v>
      </c>
      <c r="I26" s="1" t="n">
        <f aca="false">IF(E26="ALTA",3,IF(E26="MEDIA",2,IF(E26="BAJA",1,0)))</f>
        <v>0</v>
      </c>
    </row>
    <row r="27" customFormat="false" ht="24" hidden="false" customHeight="true" outlineLevel="0" collapsed="false">
      <c r="A27" s="7" t="s">
        <v>79</v>
      </c>
      <c r="B27" s="8" t="s">
        <v>80</v>
      </c>
      <c r="C27" s="8" t="s">
        <v>81</v>
      </c>
      <c r="D27" s="9" t="s">
        <v>69</v>
      </c>
      <c r="E27" s="9"/>
      <c r="F27" s="7" t="str">
        <f aca="false">IF(OR(D27="",E27=""),"",IF(D27=E27,"✅","⚠️"))</f>
        <v/>
      </c>
      <c r="G27" s="8" t="s">
        <v>82</v>
      </c>
      <c r="H27" s="1" t="n">
        <f aca="false">IF(D27="ALTA",3,IF(D27="MEDIA",2,IF(D27="BAJA",1,0)))</f>
        <v>1</v>
      </c>
      <c r="I27" s="1" t="n">
        <f aca="false">IF(E27="ALTA",3,IF(E27="MEDIA",2,IF(E27="BAJA",1,0)))</f>
        <v>0</v>
      </c>
    </row>
    <row r="28" customFormat="false" ht="24" hidden="false" customHeight="true" outlineLevel="0" collapsed="false">
      <c r="A28" s="7" t="s">
        <v>83</v>
      </c>
      <c r="B28" s="8" t="s">
        <v>84</v>
      </c>
      <c r="C28" s="8" t="s">
        <v>85</v>
      </c>
      <c r="D28" s="9" t="s">
        <v>69</v>
      </c>
      <c r="E28" s="9"/>
      <c r="F28" s="7" t="str">
        <f aca="false">IF(OR(D28="",E28=""),"",IF(D28=E28,"✅","⚠️"))</f>
        <v/>
      </c>
      <c r="G28" s="8" t="s">
        <v>82</v>
      </c>
      <c r="H28" s="1" t="n">
        <f aca="false">IF(D28="ALTA",3,IF(D28="MEDIA",2,IF(D28="BAJA",1,0)))</f>
        <v>1</v>
      </c>
      <c r="I28" s="1" t="n">
        <f aca="false">IF(E28="ALTA",3,IF(E28="MEDIA",2,IF(E28="BAJA",1,0)))</f>
        <v>0</v>
      </c>
    </row>
    <row r="29" customFormat="false" ht="24" hidden="false" customHeight="true" outlineLevel="0" collapsed="false">
      <c r="A29" s="7" t="s">
        <v>86</v>
      </c>
      <c r="B29" s="8" t="s">
        <v>87</v>
      </c>
      <c r="C29" s="8" t="s">
        <v>88</v>
      </c>
      <c r="D29" s="9" t="s">
        <v>69</v>
      </c>
      <c r="E29" s="9"/>
      <c r="F29" s="7" t="str">
        <f aca="false">IF(OR(D29="",E29=""),"",IF(D29=E29,"✅","⚠️"))</f>
        <v/>
      </c>
      <c r="G29" s="8" t="s">
        <v>82</v>
      </c>
      <c r="H29" s="1" t="n">
        <f aca="false">IF(D29="ALTA",3,IF(D29="MEDIA",2,IF(D29="BAJA",1,0)))</f>
        <v>1</v>
      </c>
      <c r="I29" s="1" t="n">
        <f aca="false">IF(E29="ALTA",3,IF(E29="MEDIA",2,IF(E29="BAJA",1,0)))</f>
        <v>0</v>
      </c>
    </row>
    <row r="30" customFormat="false" ht="24" hidden="false" customHeight="true" outlineLevel="0" collapsed="false">
      <c r="A30" s="7" t="s">
        <v>89</v>
      </c>
      <c r="B30" s="8" t="s">
        <v>90</v>
      </c>
      <c r="C30" s="8" t="s">
        <v>91</v>
      </c>
      <c r="D30" s="9" t="s">
        <v>69</v>
      </c>
      <c r="E30" s="9"/>
      <c r="F30" s="7" t="str">
        <f aca="false">IF(OR(D30="",E30=""),"",IF(D30=E30,"✅","⚠️"))</f>
        <v/>
      </c>
      <c r="G30" s="8" t="s">
        <v>82</v>
      </c>
      <c r="H30" s="1" t="n">
        <f aca="false">IF(D30="ALTA",3,IF(D30="MEDIA",2,IF(D30="BAJA",1,0)))</f>
        <v>1</v>
      </c>
      <c r="I30" s="1" t="n">
        <f aca="false">IF(E30="ALTA",3,IF(E30="MEDIA",2,IF(E30="BAJA",1,0)))</f>
        <v>0</v>
      </c>
    </row>
    <row r="31" customFormat="false" ht="24" hidden="false" customHeight="true" outlineLevel="0" collapsed="false">
      <c r="A31" s="7" t="s">
        <v>92</v>
      </c>
      <c r="B31" s="8" t="s">
        <v>93</v>
      </c>
      <c r="C31" s="8" t="s">
        <v>94</v>
      </c>
      <c r="D31" s="9" t="s">
        <v>15</v>
      </c>
      <c r="E31" s="9"/>
      <c r="F31" s="7" t="str">
        <f aca="false">IF(OR(D31="",E31=""),"",IF(D31=E31,"✅","⚠️"))</f>
        <v/>
      </c>
      <c r="G31" s="8" t="s">
        <v>95</v>
      </c>
      <c r="H31" s="1" t="n">
        <f aca="false">IF(D31="ALTA",3,IF(D31="MEDIA",2,IF(D31="BAJA",1,0)))</f>
        <v>2</v>
      </c>
      <c r="I31" s="1" t="n">
        <f aca="false">IF(E31="ALTA",3,IF(E31="MEDIA",2,IF(E31="BAJA",1,0)))</f>
        <v>0</v>
      </c>
    </row>
    <row r="32" customFormat="false" ht="24" hidden="false" customHeight="true" outlineLevel="0" collapsed="false">
      <c r="A32" s="7" t="s">
        <v>96</v>
      </c>
      <c r="B32" s="8" t="s">
        <v>97</v>
      </c>
      <c r="C32" s="8" t="s">
        <v>98</v>
      </c>
      <c r="D32" s="9" t="s">
        <v>16</v>
      </c>
      <c r="E32" s="9"/>
      <c r="F32" s="7" t="str">
        <f aca="false">IF(OR(D32="",E32=""),"",IF(D32=E32,"✅","⚠️"))</f>
        <v/>
      </c>
      <c r="G32" s="8" t="s">
        <v>99</v>
      </c>
      <c r="H32" s="1" t="n">
        <f aca="false">IF(D32="ALTA",3,IF(D32="MEDIA",2,IF(D32="BAJA",1,0)))</f>
        <v>3</v>
      </c>
      <c r="I32" s="1" t="n">
        <f aca="false">IF(E32="ALTA",3,IF(E32="MEDIA",2,IF(E32="BAJA",1,0)))</f>
        <v>0</v>
      </c>
    </row>
    <row r="33" customFormat="false" ht="24" hidden="false" customHeight="true" outlineLevel="0" collapsed="false">
      <c r="A33" s="7" t="s">
        <v>100</v>
      </c>
      <c r="B33" s="8" t="s">
        <v>101</v>
      </c>
      <c r="C33" s="8" t="s">
        <v>102</v>
      </c>
      <c r="D33" s="9" t="s">
        <v>15</v>
      </c>
      <c r="E33" s="9"/>
      <c r="F33" s="7" t="str">
        <f aca="false">IF(OR(D33="",E33=""),"",IF(D33=E33,"✅","⚠️"))</f>
        <v/>
      </c>
      <c r="G33" s="8" t="s">
        <v>103</v>
      </c>
      <c r="H33" s="1" t="n">
        <f aca="false">IF(D33="ALTA",3,IF(D33="MEDIA",2,IF(D33="BAJA",1,0)))</f>
        <v>2</v>
      </c>
      <c r="I33" s="1" t="n">
        <f aca="false">IF(E33="ALTA",3,IF(E33="MEDIA",2,IF(E33="BAJA",1,0)))</f>
        <v>0</v>
      </c>
    </row>
    <row r="34" customFormat="false" ht="24" hidden="false" customHeight="true" outlineLevel="0" collapsed="false">
      <c r="A34" s="7" t="s">
        <v>104</v>
      </c>
      <c r="B34" s="8" t="s">
        <v>105</v>
      </c>
      <c r="C34" s="8" t="s">
        <v>106</v>
      </c>
      <c r="D34" s="9" t="s">
        <v>15</v>
      </c>
      <c r="E34" s="9"/>
      <c r="F34" s="7" t="str">
        <f aca="false">IF(OR(D34="",E34=""),"",IF(D34=E34,"✅","⚠️"))</f>
        <v/>
      </c>
      <c r="G34" s="8" t="s">
        <v>107</v>
      </c>
      <c r="H34" s="1" t="n">
        <f aca="false">IF(D34="ALTA",3,IF(D34="MEDIA",2,IF(D34="BAJA",1,0)))</f>
        <v>2</v>
      </c>
      <c r="I34" s="1" t="n">
        <f aca="false">IF(E34="ALTA",3,IF(E34="MEDIA",2,IF(E34="BAJA",1,0)))</f>
        <v>0</v>
      </c>
    </row>
    <row r="35" customFormat="false" ht="24" hidden="false" customHeight="true" outlineLevel="0" collapsed="false">
      <c r="A35" s="7" t="s">
        <v>108</v>
      </c>
      <c r="B35" s="8" t="s">
        <v>109</v>
      </c>
      <c r="C35" s="8" t="s">
        <v>110</v>
      </c>
      <c r="D35" s="9" t="s">
        <v>16</v>
      </c>
      <c r="E35" s="9"/>
      <c r="F35" s="7" t="str">
        <f aca="false">IF(OR(D35="",E35=""),"",IF(D35=E35,"✅","⚠️"))</f>
        <v/>
      </c>
      <c r="G35" s="8" t="s">
        <v>111</v>
      </c>
      <c r="H35" s="1" t="n">
        <f aca="false">IF(D35="ALTA",3,IF(D35="MEDIA",2,IF(D35="BAJA",1,0)))</f>
        <v>3</v>
      </c>
      <c r="I35" s="1" t="n">
        <f aca="false">IF(E35="ALTA",3,IF(E35="MEDIA",2,IF(E35="BAJA",1,0)))</f>
        <v>0</v>
      </c>
    </row>
    <row r="36" customFormat="false" ht="24" hidden="false" customHeight="true" outlineLevel="0" collapsed="false">
      <c r="A36" s="7" t="s">
        <v>112</v>
      </c>
      <c r="B36" s="8" t="s">
        <v>113</v>
      </c>
      <c r="C36" s="8" t="s">
        <v>114</v>
      </c>
      <c r="D36" s="9" t="s">
        <v>16</v>
      </c>
      <c r="E36" s="9"/>
      <c r="F36" s="7" t="str">
        <f aca="false">IF(OR(D36="",E36=""),"",IF(D36=E36,"✅","⚠️"))</f>
        <v/>
      </c>
      <c r="G36" s="8" t="s">
        <v>115</v>
      </c>
      <c r="H36" s="1" t="n">
        <f aca="false">IF(D36="ALTA",3,IF(D36="MEDIA",2,IF(D36="BAJA",1,0)))</f>
        <v>3</v>
      </c>
      <c r="I36" s="1" t="n">
        <f aca="false">IF(E36="ALTA",3,IF(E36="MEDIA",2,IF(E36="BAJA",1,0)))</f>
        <v>0</v>
      </c>
    </row>
    <row r="37" customFormat="false" ht="24" hidden="false" customHeight="true" outlineLevel="0" collapsed="false">
      <c r="A37" s="7" t="s">
        <v>116</v>
      </c>
      <c r="B37" s="8" t="s">
        <v>117</v>
      </c>
      <c r="C37" s="8" t="s">
        <v>118</v>
      </c>
      <c r="D37" s="9" t="s">
        <v>16</v>
      </c>
      <c r="E37" s="9"/>
      <c r="F37" s="7" t="str">
        <f aca="false">IF(OR(D37="",E37=""),"",IF(D37=E37,"✅","⚠️"))</f>
        <v/>
      </c>
      <c r="G37" s="8" t="s">
        <v>115</v>
      </c>
      <c r="H37" s="1" t="n">
        <f aca="false">IF(D37="ALTA",3,IF(D37="MEDIA",2,IF(D37="BAJA",1,0)))</f>
        <v>3</v>
      </c>
      <c r="I37" s="1" t="n">
        <f aca="false">IF(E37="ALTA",3,IF(E37="MEDIA",2,IF(E37="BAJA",1,0)))</f>
        <v>0</v>
      </c>
    </row>
    <row r="38" customFormat="false" ht="24" hidden="false" customHeight="true" outlineLevel="0" collapsed="false">
      <c r="A38" s="7" t="s">
        <v>119</v>
      </c>
      <c r="B38" s="8" t="s">
        <v>120</v>
      </c>
      <c r="C38" s="8" t="s">
        <v>121</v>
      </c>
      <c r="D38" s="9" t="s">
        <v>16</v>
      </c>
      <c r="E38" s="9"/>
      <c r="F38" s="7" t="str">
        <f aca="false">IF(OR(D38="",E38=""),"",IF(D38=E38,"✅","⚠️"))</f>
        <v/>
      </c>
      <c r="G38" s="8" t="s">
        <v>111</v>
      </c>
      <c r="H38" s="1" t="n">
        <f aca="false">IF(D38="ALTA",3,IF(D38="MEDIA",2,IF(D38="BAJA",1,0)))</f>
        <v>3</v>
      </c>
      <c r="I38" s="1" t="n">
        <f aca="false">IF(E38="ALTA",3,IF(E38="MEDIA",2,IF(E38="BAJA",1,0)))</f>
        <v>0</v>
      </c>
    </row>
    <row r="39" customFormat="false" ht="24" hidden="false" customHeight="true" outlineLevel="0" collapsed="false">
      <c r="A39" s="7" t="s">
        <v>122</v>
      </c>
      <c r="B39" s="8" t="s">
        <v>123</v>
      </c>
      <c r="C39" s="8" t="s">
        <v>124</v>
      </c>
      <c r="D39" s="9" t="s">
        <v>16</v>
      </c>
      <c r="E39" s="9"/>
      <c r="F39" s="7" t="str">
        <f aca="false">IF(OR(D39="",E39=""),"",IF(D39=E39,"✅","⚠️"))</f>
        <v/>
      </c>
      <c r="G39" s="8" t="s">
        <v>115</v>
      </c>
      <c r="H39" s="1" t="n">
        <f aca="false">IF(D39="ALTA",3,IF(D39="MEDIA",2,IF(D39="BAJA",1,0)))</f>
        <v>3</v>
      </c>
      <c r="I39" s="1" t="n">
        <f aca="false">IF(E39="ALTA",3,IF(E39="MEDIA",2,IF(E39="BAJA",1,0)))</f>
        <v>0</v>
      </c>
    </row>
    <row r="40" customFormat="false" ht="24" hidden="false" customHeight="true" outlineLevel="0" collapsed="false">
      <c r="A40" s="7" t="s">
        <v>125</v>
      </c>
      <c r="B40" s="8" t="s">
        <v>126</v>
      </c>
      <c r="C40" s="8" t="s">
        <v>127</v>
      </c>
      <c r="D40" s="9" t="s">
        <v>16</v>
      </c>
      <c r="E40" s="9"/>
      <c r="F40" s="7" t="str">
        <f aca="false">IF(OR(D40="",E40=""),"",IF(D40=E40,"✅","⚠️"))</f>
        <v/>
      </c>
      <c r="G40" s="8" t="s">
        <v>115</v>
      </c>
      <c r="H40" s="1" t="n">
        <f aca="false">IF(D40="ALTA",3,IF(D40="MEDIA",2,IF(D40="BAJA",1,0)))</f>
        <v>3</v>
      </c>
      <c r="I40" s="1" t="n">
        <f aca="false">IF(E40="ALTA",3,IF(E40="MEDIA",2,IF(E40="BAJA",1,0)))</f>
        <v>0</v>
      </c>
    </row>
    <row r="41" customFormat="false" ht="24" hidden="false" customHeight="true" outlineLevel="0" collapsed="false">
      <c r="A41" s="7" t="s">
        <v>128</v>
      </c>
      <c r="B41" s="8" t="s">
        <v>129</v>
      </c>
      <c r="C41" s="8" t="s">
        <v>130</v>
      </c>
      <c r="D41" s="9" t="s">
        <v>15</v>
      </c>
      <c r="E41" s="9"/>
      <c r="F41" s="7" t="str">
        <f aca="false">IF(OR(D41="",E41=""),"",IF(D41=E41,"✅","⚠️"))</f>
        <v/>
      </c>
      <c r="G41" s="8" t="s">
        <v>107</v>
      </c>
      <c r="H41" s="1" t="n">
        <f aca="false">IF(D41="ALTA",3,IF(D41="MEDIA",2,IF(D41="BAJA",1,0)))</f>
        <v>2</v>
      </c>
      <c r="I41" s="1" t="n">
        <f aca="false">IF(E41="ALTA",3,IF(E41="MEDIA",2,IF(E41="BAJA",1,0)))</f>
        <v>0</v>
      </c>
    </row>
    <row r="42" customFormat="false" ht="24" hidden="false" customHeight="true" outlineLevel="0" collapsed="false">
      <c r="A42" s="7" t="s">
        <v>131</v>
      </c>
      <c r="B42" s="8" t="s">
        <v>132</v>
      </c>
      <c r="C42" s="8" t="s">
        <v>133</v>
      </c>
      <c r="D42" s="9" t="s">
        <v>16</v>
      </c>
      <c r="E42" s="9"/>
      <c r="F42" s="7" t="str">
        <f aca="false">IF(OR(D42="",E42=""),"",IF(D42=E42,"✅","⚠️"))</f>
        <v/>
      </c>
      <c r="G42" s="8" t="s">
        <v>134</v>
      </c>
      <c r="H42" s="1" t="n">
        <f aca="false">IF(D42="ALTA",3,IF(D42="MEDIA",2,IF(D42="BAJA",1,0)))</f>
        <v>3</v>
      </c>
      <c r="I42" s="1" t="n">
        <f aca="false">IF(E42="ALTA",3,IF(E42="MEDIA",2,IF(E42="BAJA",1,0)))</f>
        <v>0</v>
      </c>
    </row>
    <row r="43" customFormat="false" ht="24" hidden="false" customHeight="true" outlineLevel="0" collapsed="false">
      <c r="A43" s="7" t="s">
        <v>135</v>
      </c>
      <c r="B43" s="8" t="s">
        <v>136</v>
      </c>
      <c r="C43" s="8" t="s">
        <v>137</v>
      </c>
      <c r="D43" s="9" t="s">
        <v>16</v>
      </c>
      <c r="E43" s="9"/>
      <c r="F43" s="7" t="str">
        <f aca="false">IF(OR(D43="",E43=""),"",IF(D43=E43,"✅","⚠️"))</f>
        <v/>
      </c>
      <c r="G43" s="8" t="s">
        <v>138</v>
      </c>
      <c r="H43" s="1" t="n">
        <f aca="false">IF(D43="ALTA",3,IF(D43="MEDIA",2,IF(D43="BAJA",1,0)))</f>
        <v>3</v>
      </c>
      <c r="I43" s="1" t="n">
        <f aca="false">IF(E43="ALTA",3,IF(E43="MEDIA",2,IF(E43="BAJA",1,0)))</f>
        <v>0</v>
      </c>
    </row>
    <row r="44" customFormat="false" ht="24" hidden="false" customHeight="true" outlineLevel="0" collapsed="false">
      <c r="A44" s="7" t="s">
        <v>139</v>
      </c>
      <c r="B44" s="8" t="s">
        <v>140</v>
      </c>
      <c r="C44" s="8" t="s">
        <v>37</v>
      </c>
      <c r="D44" s="9" t="s">
        <v>69</v>
      </c>
      <c r="E44" s="9"/>
      <c r="F44" s="7" t="str">
        <f aca="false">IF(OR(D44="",E44=""),"",IF(D44=E44,"✅","⚠️"))</f>
        <v/>
      </c>
      <c r="G44" s="8" t="s">
        <v>141</v>
      </c>
      <c r="H44" s="1" t="n">
        <f aca="false">IF(D44="ALTA",3,IF(D44="MEDIA",2,IF(D44="BAJA",1,0)))</f>
        <v>1</v>
      </c>
      <c r="I44" s="1" t="n">
        <f aca="false">IF(E44="ALTA",3,IF(E44="MEDIA",2,IF(E44="BAJA",1,0)))</f>
        <v>0</v>
      </c>
    </row>
    <row r="45" customFormat="false" ht="24" hidden="false" customHeight="true" outlineLevel="0" collapsed="false">
      <c r="A45" s="7" t="s">
        <v>142</v>
      </c>
      <c r="B45" s="8" t="s">
        <v>143</v>
      </c>
      <c r="C45" s="8" t="s">
        <v>37</v>
      </c>
      <c r="D45" s="9" t="s">
        <v>69</v>
      </c>
      <c r="E45" s="9"/>
      <c r="F45" s="7" t="str">
        <f aca="false">IF(OR(D45="",E45=""),"",IF(D45=E45,"✅","⚠️"))</f>
        <v/>
      </c>
      <c r="G45" s="8" t="s">
        <v>144</v>
      </c>
      <c r="H45" s="1" t="n">
        <f aca="false">IF(D45="ALTA",3,IF(D45="MEDIA",2,IF(D45="BAJA",1,0)))</f>
        <v>1</v>
      </c>
      <c r="I45" s="1" t="n">
        <f aca="false">IF(E45="ALTA",3,IF(E45="MEDIA",2,IF(E45="BAJA",1,0)))</f>
        <v>0</v>
      </c>
    </row>
    <row r="46" customFormat="false" ht="24" hidden="false" customHeight="true" outlineLevel="0" collapsed="false">
      <c r="A46" s="7" t="s">
        <v>145</v>
      </c>
      <c r="B46" s="8" t="s">
        <v>146</v>
      </c>
      <c r="C46" s="8" t="s">
        <v>37</v>
      </c>
      <c r="D46" s="9" t="s">
        <v>69</v>
      </c>
      <c r="E46" s="9"/>
      <c r="F46" s="7" t="str">
        <f aca="false">IF(OR(D46="",E46=""),"",IF(D46=E46,"✅","⚠️"))</f>
        <v/>
      </c>
      <c r="G46" s="8" t="s">
        <v>147</v>
      </c>
      <c r="H46" s="1" t="n">
        <f aca="false">IF(D46="ALTA",3,IF(D46="MEDIA",2,IF(D46="BAJA",1,0)))</f>
        <v>1</v>
      </c>
      <c r="I46" s="1" t="n">
        <f aca="false">IF(E46="ALTA",3,IF(E46="MEDIA",2,IF(E46="BAJA",1,0)))</f>
        <v>0</v>
      </c>
    </row>
    <row r="47" customFormat="false" ht="15" hidden="false" customHeight="true" outlineLevel="0" collapsed="false">
      <c r="B47" s="10" t="s">
        <v>148</v>
      </c>
    </row>
    <row r="48" customFormat="false" ht="15" hidden="false" customHeight="true" outlineLevel="0" collapsed="false">
      <c r="B48" s="11" t="s">
        <v>149</v>
      </c>
      <c r="C48" s="11"/>
      <c r="D48" s="11"/>
      <c r="E48" s="12" t="str">
        <f aca="false">COUNTIF(E9:E46,"ALTA")+COUNTIF(E9:E46,"MEDIA")+COUNTIF(E9:E46,"BAJA")&amp;" / 38"</f>
        <v>0 / 38</v>
      </c>
    </row>
    <row r="49" customFormat="false" ht="15" hidden="false" customHeight="true" outlineLevel="0" collapsed="false">
      <c r="B49" s="11" t="s">
        <v>150</v>
      </c>
      <c r="C49" s="11"/>
      <c r="D49" s="11"/>
      <c r="E49" s="12" t="n">
        <f aca="false">SUMPRODUCT((H9:H46&gt;0)*(I9:I46&gt;0)*(H9:H46=I9:I46))</f>
        <v>0</v>
      </c>
    </row>
    <row r="50" customFormat="false" ht="15" hidden="false" customHeight="true" outlineLevel="0" collapsed="false">
      <c r="B50" s="11" t="s">
        <v>151</v>
      </c>
      <c r="C50" s="11"/>
      <c r="D50" s="11"/>
      <c r="E50" s="13" t="str">
        <f aca="false">IFERROR(SUMPRODUCT((H9:H46&gt;0)*(I9:I46&gt;0)*(H9:H46=I9:I46))/SUMPRODUCT((H9:H46&gt;0)*(I9:I46&gt;0)),"")</f>
        <v/>
      </c>
    </row>
    <row r="51" customFormat="false" ht="15" hidden="false" customHeight="true" outlineLevel="0" collapsed="false">
      <c r="B51" s="11" t="s">
        <v>152</v>
      </c>
      <c r="C51" s="11"/>
      <c r="D51" s="11"/>
      <c r="E51" s="12" t="n">
        <f aca="false">SUMPRODUCT((H9:H46&gt;0)*(I9:I46&gt;0)*(I9:I46&gt;H9:H46))</f>
        <v>0</v>
      </c>
    </row>
    <row r="52" customFormat="false" ht="15" hidden="false" customHeight="true" outlineLevel="0" collapsed="false">
      <c r="B52" s="11" t="s">
        <v>153</v>
      </c>
      <c r="C52" s="11"/>
      <c r="D52" s="11"/>
      <c r="E52" s="14" t="n">
        <f aca="false">SUMPRODUCT((H9:H46&gt;0)*(I9:I46&gt;0)*(I9:I46&lt;H9:H46))</f>
        <v>0</v>
      </c>
    </row>
    <row r="53" customFormat="false" ht="15" hidden="false" customHeight="true" outlineLevel="0" collapsed="false">
      <c r="B53" s="11" t="s">
        <v>154</v>
      </c>
      <c r="C53" s="11"/>
      <c r="D53" s="11"/>
      <c r="E53" s="12" t="n">
        <f aca="false">SUMPRODUCT((I44:I46&gt;1)*1)</f>
        <v>0</v>
      </c>
    </row>
    <row r="55" customFormat="false" ht="15" hidden="false" customHeight="true" outlineLevel="0" collapsed="false">
      <c r="B55" s="15" t="s">
        <v>155</v>
      </c>
      <c r="C55" s="16"/>
    </row>
    <row r="56" customFormat="false" ht="15" hidden="false" customHeight="true" outlineLevel="0" collapsed="false">
      <c r="B56" s="15" t="s">
        <v>156</v>
      </c>
      <c r="C56" s="16"/>
    </row>
    <row r="57" customFormat="false" ht="15" hidden="false" customHeight="true" outlineLevel="0" collapsed="false">
      <c r="B57" s="15" t="s">
        <v>157</v>
      </c>
      <c r="C57" s="16"/>
    </row>
  </sheetData>
  <mergeCells count="10">
    <mergeCell ref="A2:G2"/>
    <mergeCell ref="A3:G3"/>
    <mergeCell ref="A4:G4"/>
    <mergeCell ref="A5:G5"/>
    <mergeCell ref="B48:D48"/>
    <mergeCell ref="B49:D49"/>
    <mergeCell ref="B50:D50"/>
    <mergeCell ref="B51:D51"/>
    <mergeCell ref="B52:D52"/>
    <mergeCell ref="B53:D53"/>
  </mergeCells>
  <dataValidations count="1">
    <dataValidation allowBlank="true" errorStyle="stop" operator="between" showDropDown="false" showErrorMessage="false" showInputMessage="false" sqref="D8:E46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62"/>
    <col collapsed="false" customWidth="true" hidden="false" outlineLevel="0" max="3" min="3" style="1" width="58"/>
  </cols>
  <sheetData>
    <row r="1" customFormat="false" ht="15" hidden="false" customHeight="true" outlineLevel="0" collapsed="false">
      <c r="A1" s="10" t="s">
        <v>158</v>
      </c>
    </row>
    <row r="3" customFormat="false" ht="15" hidden="false" customHeight="true" outlineLevel="0" collapsed="false">
      <c r="A3" s="5" t="s">
        <v>5</v>
      </c>
      <c r="B3" s="5" t="s">
        <v>159</v>
      </c>
      <c r="C3" s="5" t="s">
        <v>160</v>
      </c>
    </row>
    <row r="4" customFormat="false" ht="27.75" hidden="false" customHeight="true" outlineLevel="0" collapsed="false">
      <c r="A4" s="7" t="s">
        <v>18</v>
      </c>
      <c r="B4" s="8" t="s">
        <v>161</v>
      </c>
      <c r="C4" s="8" t="s">
        <v>162</v>
      </c>
    </row>
    <row r="5" customFormat="false" ht="27.75" hidden="false" customHeight="true" outlineLevel="0" collapsed="false">
      <c r="A5" s="7" t="s">
        <v>22</v>
      </c>
      <c r="B5" s="8" t="s">
        <v>163</v>
      </c>
      <c r="C5" s="8" t="s">
        <v>164</v>
      </c>
    </row>
    <row r="6" customFormat="false" ht="27.75" hidden="false" customHeight="true" outlineLevel="0" collapsed="false">
      <c r="A6" s="7" t="s">
        <v>25</v>
      </c>
      <c r="B6" s="8" t="s">
        <v>165</v>
      </c>
      <c r="C6" s="8" t="s">
        <v>166</v>
      </c>
    </row>
    <row r="7" customFormat="false" ht="27.75" hidden="false" customHeight="true" outlineLevel="0" collapsed="false">
      <c r="A7" s="7" t="s">
        <v>29</v>
      </c>
      <c r="B7" s="8" t="s">
        <v>167</v>
      </c>
      <c r="C7" s="8" t="s">
        <v>166</v>
      </c>
    </row>
    <row r="8" customFormat="false" ht="27.75" hidden="false" customHeight="true" outlineLevel="0" collapsed="false">
      <c r="A8" s="7" t="s">
        <v>31</v>
      </c>
      <c r="B8" s="8" t="s">
        <v>168</v>
      </c>
      <c r="C8" s="8" t="s">
        <v>16</v>
      </c>
    </row>
    <row r="9" customFormat="false" ht="27.75" hidden="false" customHeight="true" outlineLevel="0" collapsed="false">
      <c r="A9" s="7" t="s">
        <v>33</v>
      </c>
      <c r="B9" s="8" t="s">
        <v>169</v>
      </c>
      <c r="C9" s="8" t="s">
        <v>170</v>
      </c>
    </row>
    <row r="10" customFormat="false" ht="27.75" hidden="false" customHeight="true" outlineLevel="0" collapsed="false">
      <c r="A10" s="7" t="s">
        <v>35</v>
      </c>
      <c r="B10" s="8" t="s">
        <v>171</v>
      </c>
      <c r="C10" s="8" t="s">
        <v>172</v>
      </c>
    </row>
    <row r="11" customFormat="false" ht="27.75" hidden="false" customHeight="true" outlineLevel="0" collapsed="false">
      <c r="A11" s="7" t="s">
        <v>39</v>
      </c>
      <c r="B11" s="8" t="s">
        <v>173</v>
      </c>
      <c r="C11" s="8" t="s">
        <v>174</v>
      </c>
    </row>
    <row r="12" customFormat="false" ht="27.75" hidden="false" customHeight="true" outlineLevel="0" collapsed="false">
      <c r="A12" s="7" t="s">
        <v>41</v>
      </c>
      <c r="B12" s="8" t="s">
        <v>175</v>
      </c>
      <c r="C12" s="8" t="s">
        <v>176</v>
      </c>
    </row>
    <row r="13" customFormat="false" ht="27.75" hidden="false" customHeight="true" outlineLevel="0" collapsed="false">
      <c r="A13" s="7" t="s">
        <v>43</v>
      </c>
      <c r="B13" s="8" t="s">
        <v>177</v>
      </c>
      <c r="C13" s="8" t="s">
        <v>178</v>
      </c>
    </row>
    <row r="14" customFormat="false" ht="27.75" hidden="false" customHeight="true" outlineLevel="0" collapsed="false">
      <c r="A14" s="7" t="s">
        <v>139</v>
      </c>
      <c r="B14" s="8" t="s">
        <v>179</v>
      </c>
      <c r="C14" s="8" t="s">
        <v>180</v>
      </c>
    </row>
    <row r="15" customFormat="false" ht="27.75" hidden="false" customHeight="true" outlineLevel="0" collapsed="false">
      <c r="A15" s="7" t="s">
        <v>142</v>
      </c>
      <c r="B15" s="8" t="s">
        <v>181</v>
      </c>
      <c r="C15" s="8" t="s">
        <v>182</v>
      </c>
    </row>
    <row r="16" customFormat="false" ht="27.75" hidden="false" customHeight="true" outlineLevel="0" collapsed="false">
      <c r="A16" s="7" t="s">
        <v>145</v>
      </c>
      <c r="B16" s="8" t="s">
        <v>183</v>
      </c>
      <c r="C16" s="8" t="s">
        <v>184</v>
      </c>
    </row>
    <row r="18" customFormat="false" ht="15" hidden="false" customHeight="true" outlineLevel="0" collapsed="false">
      <c r="A18" s="17" t="s">
        <v>185</v>
      </c>
      <c r="B18" s="17"/>
      <c r="C18" s="17"/>
    </row>
  </sheetData>
  <mergeCells count="1"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2026-08-16T02:33:40Z</dcterms:created>
  <dc:creator>openpyxl</dc:creator>
  <dc:description/>
  <dc:language>en-US</dc:language>
  <cp:lastModifiedBy/>
  <dcterms:modified xsi:type="dcterms:W3CDTF">2026-08-16T02:49:48Z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